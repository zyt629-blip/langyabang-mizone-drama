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第1集" sheetId="2" state="visible" r:id="rId2"/>
    <sheet xmlns:r="http://schemas.openxmlformats.org/officeDocument/2006/relationships" name="第2集" sheetId="3" state="visible" r:id="rId3"/>
    <sheet xmlns:r="http://schemas.openxmlformats.org/officeDocument/2006/relationships" name="第3集" sheetId="4" state="visible" r:id="rId4"/>
    <sheet xmlns:r="http://schemas.openxmlformats.org/officeDocument/2006/relationships" name="脉动卖点核对" sheetId="5" state="visible" r:id="rId5"/>
    <sheet xmlns:r="http://schemas.openxmlformats.org/officeDocument/2006/relationships" name="积分使用记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5"/>
    </font>
    <font>
      <b val="1"/>
    </font>
    <font>
      <b val="1"/>
      <color rgb="002F4858"/>
      <sz val="12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F4858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/>
      <right/>
      <top style="thin">
        <color rgb="00BBBBBB"/>
      </top>
      <bottom/>
      <diagonal/>
    </border>
    <border>
      <left/>
      <right style="thin">
        <color rgb="00BBBBBB"/>
      </right>
      <top style="thin">
        <color rgb="00BBBBBB"/>
      </top>
      <bottom/>
      <diagonal/>
    </border>
    <border>
      <left/>
      <right/>
      <top style="thin">
        <color rgb="00BBBBBB"/>
      </top>
      <bottom style="thin">
        <color rgb="00BBBBBB"/>
      </bottom>
      <diagonal/>
    </border>
    <border>
      <left/>
      <right style="thin">
        <color rgb="00BBBBBB"/>
      </right>
      <top style="thin">
        <color rgb="00BBBBBB"/>
      </top>
      <bottom style="thin">
        <color rgb="00BBBBBB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0" borderId="0" pivotButton="0" quotePrefix="0" xfId="0"/>
    <xf numFmtId="0" fontId="0" fillId="0" borderId="1" applyAlignment="1" pivotButton="0" quotePrefix="0" xfId="0">
      <alignment horizontal="center" vertical="top" wrapText="1"/>
    </xf>
    <xf numFmtId="0" fontId="2" fillId="0" borderId="0" pivotButton="0" quotePrefix="0" xfId="0"/>
    <xf numFmtId="0" fontId="2" fillId="0" borderId="0" applyAlignment="1" pivotButton="0" quotePrefix="0" xfId="0">
      <alignment horizontal="center" vertical="top" wrapText="1"/>
    </xf>
    <xf numFmtId="0" fontId="0" fillId="3" borderId="1" applyAlignment="1" pivotButton="0" quotePrefix="0" xfId="0">
      <alignment vertical="top" wrapText="1"/>
    </xf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36" customWidth="1" min="3" max="3"/>
    <col width="20" customWidth="1" min="4" max="4"/>
    <col width="32" customWidth="1" min="5" max="5"/>
    <col width="52" customWidth="1" min="6" max="6"/>
    <col width="4" customWidth="1" min="7" max="7"/>
  </cols>
  <sheetData>
    <row r="1">
      <c r="A1" s="1" t="inlineStr">
        <is>
          <t>《梅长苏：脉动回来》三集短剧 · 完整视频脚本（短剧爽感版）</t>
        </is>
      </c>
    </row>
    <row r="2" ht="62" customHeight="1">
      <c r="A2" s="2" t="inlineStr">
        <is>
          <t>一句话：</t>
        </is>
      </c>
      <c r="B2" s="3" t="inlineStr">
        <is>
          <t>江左梅郎雪夜被追杀，中剑身亡，在白色梦境里被斗笠引路人塞了三瓶脉动：去三个世界救三个人。脉动不是给他喝的，是递给被救的人——喝下去，人就“脉动回来”。每救一个，他的剑伤愈合一分；三个都救完，他才能复活。</t>
        </is>
      </c>
    </row>
    <row r="3" ht="34" customHeight="1">
      <c r="A3" s="2" t="inlineStr">
        <is>
          <t>植入产品：</t>
        </is>
      </c>
      <c r="B3" s="3" t="inlineStr">
        <is>
          <t>脉动（达能）。三集各讲一个官方卖点：三重维生素 / 三连电解质 / 清爽果味。款式（普通款 or 脉动+电解质）待确认。</t>
        </is>
      </c>
    </row>
    <row r="4"/>
    <row r="5">
      <c r="A5" s="4" t="inlineStr">
        <is>
          <t>一、人物表</t>
        </is>
      </c>
    </row>
    <row r="6">
      <c r="A6" s="5" t="inlineStr">
        <is>
          <t>角色</t>
        </is>
      </c>
      <c r="B6" s="5" t="inlineStr">
        <is>
          <t>身份</t>
        </is>
      </c>
      <c r="C6" s="5" t="inlineStr">
        <is>
          <t>戏份与作用</t>
        </is>
      </c>
    </row>
    <row r="7">
      <c r="A7" s="6" t="inlineStr">
        <is>
          <t>梅长苏</t>
        </is>
      </c>
      <c r="B7" s="6" t="inlineStr">
        <is>
          <t>主角，天下第一谋士，嘴上冷静、心里有数</t>
        </is>
      </c>
      <c r="C7" s="6" t="inlineStr">
        <is>
          <t>古装全程；负责“看清局势、定计策、递瓶子”，不亲自喝脉动（直到第3集最后）。</t>
        </is>
      </c>
    </row>
    <row r="8">
      <c r="A8" s="6" t="inlineStr">
        <is>
          <t>引路人 / 蔺晨</t>
        </is>
      </c>
      <c r="B8" s="6" t="inlineStr">
        <is>
          <t>斗笠人，第3集摘斗笠揭晓是蔺晨</t>
        </is>
      </c>
      <c r="C8" s="6" t="inlineStr">
        <is>
          <t>前两集只见背影和声音；第3集身份反转，“你要是真死了，我找谁下棋？”</t>
        </is>
      </c>
    </row>
    <row r="9">
      <c r="A9" s="6" t="inlineStr">
        <is>
          <t>Daniel</t>
        </is>
      </c>
      <c r="B9" s="6" t="inlineStr">
        <is>
          <t>第1集被救者，纽约交易员</t>
        </is>
      </c>
      <c r="C9" s="6" t="inlineStr">
        <is>
          <t>连续加班72小时，被上司甩锅；喝脉动后调出授权邮件打脸上司。</t>
        </is>
      </c>
    </row>
    <row r="10">
      <c r="A10" s="6" t="inlineStr">
        <is>
          <t>Hana / Jina</t>
        </is>
      </c>
      <c r="B10" s="6" t="inlineStr">
        <is>
          <t>第2集被救者 Hana（女团成员）/ 霸凌者 Jina（队长）</t>
        </is>
      </c>
      <c r="C10" s="6" t="inlineStr">
        <is>
          <t>Hana 被孤立6个月，耳返被扔、音乐被改；喝脉动后清唱反杀。Jina 是队长，动音控台被抓。</t>
        </is>
      </c>
    </row>
    <row r="11">
      <c r="A11" s="6" t="inlineStr">
        <is>
          <t>阿伟 / 顾客</t>
        </is>
      </c>
      <c r="B11" s="6" t="inlineStr">
        <is>
          <t>第3集被救者阿伟（外卖小哥）/ 恶意投诉的顾客</t>
        </is>
      </c>
      <c r="C11" s="6" t="inlineStr">
        <is>
          <t>跑了14小时被扣款380元；喝脉动后拿送达照片和监控证明清白。另有物业保安（客串）。</t>
        </is>
      </c>
    </row>
    <row r="12"/>
    <row r="13">
      <c r="A13" s="4" t="inlineStr">
        <is>
          <t>二、三集结构表</t>
        </is>
      </c>
    </row>
    <row r="14">
      <c r="A14" s="5" t="inlineStr">
        <is>
          <t>集名</t>
        </is>
      </c>
      <c r="B14" s="5" t="inlineStr">
        <is>
          <t>时长</t>
        </is>
      </c>
      <c r="C14" s="5" t="inlineStr">
        <is>
          <t>场景</t>
        </is>
      </c>
      <c r="D14" s="5" t="inlineStr">
        <is>
          <t>被救者</t>
        </is>
      </c>
      <c r="E14" s="5" t="inlineStr">
        <is>
          <t>对应卖点</t>
        </is>
      </c>
      <c r="F14" s="5" t="inlineStr">
        <is>
          <t>爽点</t>
        </is>
      </c>
    </row>
    <row r="15">
      <c r="A15" s="6" t="inlineStr">
        <is>
          <t>第1集 《死了也要加班？》</t>
        </is>
      </c>
      <c r="B15" s="6" t="inlineStr">
        <is>
          <t>约 2分10秒（130s）</t>
        </is>
      </c>
      <c r="C15" s="6" t="inlineStr">
        <is>
          <t>雪夜山林、白色梦境、纽约交易大厅</t>
        </is>
      </c>
      <c r="D15" s="6" t="inlineStr">
        <is>
          <t>Daniel（纽约交易员）</t>
        </is>
      </c>
      <c r="E15" s="6" t="inlineStr">
        <is>
          <t>三重维生素（C、B6、B3）· 多维焕活</t>
        </is>
      </c>
      <c r="F15" s="6" t="inlineStr">
        <is>
          <t>上司当众甩文件、亏损200万 → 喝脉动 → 调出授权邮件，上司当场脸白</t>
        </is>
      </c>
    </row>
    <row r="16">
      <c r="A16" s="6" t="inlineStr">
        <is>
          <t>第2集 《被霸凌？直播反杀！》</t>
        </is>
      </c>
      <c r="B16" s="6" t="inlineStr">
        <is>
          <t>约 2分20秒（140s）</t>
        </is>
      </c>
      <c r="C16" s="6" t="inlineStr">
        <is>
          <t>首尔练习室、后台、直播舞台、白色梦境</t>
        </is>
      </c>
      <c r="D16" s="6" t="inlineStr">
        <is>
          <t>Hana（女团成员）</t>
        </is>
      </c>
      <c r="E16" s="6" t="inlineStr">
        <is>
          <t>三连电解质（钾、钠、氯）· 闪充补水</t>
        </is>
      </c>
      <c r="F16" s="6" t="inlineStr">
        <is>
          <t>耳返被扔、音乐被改 → 喝脉动 → 关伴奏清唱，Jina 摸音控台被监控抓个正着</t>
        </is>
      </c>
    </row>
    <row r="17">
      <c r="A17" s="6" t="inlineStr">
        <is>
          <t>第3集 《暴雨夜，差评别想要我命》</t>
        </is>
      </c>
      <c r="B17" s="6" t="inlineStr">
        <is>
          <t>约 2分40秒（160s）</t>
        </is>
      </c>
      <c r="C17" s="6" t="inlineStr">
        <is>
          <t>暴雨街头、小区楼道、白色梦境、雪夜山林</t>
        </is>
      </c>
      <c r="D17" s="6" t="inlineStr">
        <is>
          <t>阿伟（外卖小哥）</t>
        </is>
      </c>
      <c r="E17" s="6" t="inlineStr">
        <is>
          <t>清爽果味 · 清爽唤醒</t>
        </is>
      </c>
      <c r="F17" s="6" t="inlineStr">
        <is>
          <t>被恶意投诉扣款 → 停车喝脉动 → 送达照片+楼道监控，顾客当场被打脸；终极反转：第四瓶</t>
        </is>
      </c>
    </row>
    <row r="18"/>
    <row r="19" ht="36" customHeight="1">
      <c r="A19" s="4" t="inlineStr">
        <is>
          <t>三、连贯线（三集如何串起来）</t>
        </is>
      </c>
    </row>
    <row r="20" ht="36" customHeight="1">
      <c r="A20" s="5" t="inlineStr">
        <is>
          <t>线索</t>
        </is>
      </c>
      <c r="B20" s="5" t="inlineStr">
        <is>
          <t>说明</t>
        </is>
      </c>
      <c r="C20" s="7" t="n"/>
      <c r="D20" s="7" t="n"/>
      <c r="E20" s="7" t="n"/>
      <c r="F20" s="8" t="n"/>
    </row>
    <row r="21" ht="36" customHeight="1">
      <c r="A21" s="6" t="inlineStr">
        <is>
          <t>伤口愈合进度</t>
        </is>
      </c>
      <c r="B21" s="6" t="inlineStr">
        <is>
          <t>梅长苏身上的剑伤是“复活进度条”：第1集结尾 1/3 → 第2集结尾 2/3 → 第3集 3/3，三个人都救完才复活。</t>
        </is>
      </c>
      <c r="C21" s="7" t="n"/>
      <c r="D21" s="7" t="n"/>
      <c r="E21" s="7" t="n"/>
      <c r="F21" s="8" t="n"/>
    </row>
    <row r="22" ht="36" customHeight="1">
      <c r="A22" s="6" t="inlineStr">
        <is>
          <t>“脉动回来”</t>
        </is>
      </c>
      <c r="B22" s="6" t="inlineStr">
        <is>
          <t>引路人第1集第一次说出“凭他们喝了，会脉动回来”；每集结尾字幕/被救者回扣；第3集结尾定格大字幕“脉动回来”。</t>
        </is>
      </c>
      <c r="C22" s="7" t="n"/>
      <c r="D22" s="7" t="n"/>
      <c r="E22" s="7" t="n"/>
      <c r="F22" s="8" t="n"/>
    </row>
    <row r="23" ht="36" customHeight="1">
      <c r="A23" s="6" t="inlineStr">
        <is>
          <t>递瓶子的同一个动作</t>
        </is>
      </c>
      <c r="B23" s="6" t="inlineStr">
        <is>
          <t>梅长苏每次都是先拧开瓶盖再递过去，三集一致，形成记忆点；观众很快能预期下一拍。</t>
        </is>
      </c>
      <c r="C23" s="7" t="n"/>
      <c r="D23" s="7" t="n"/>
      <c r="E23" s="7" t="n"/>
      <c r="F23" s="8" t="n"/>
    </row>
    <row r="24" ht="36" customHeight="1">
      <c r="A24" s="6" t="inlineStr">
        <is>
          <t>蔺晨身份反转</t>
        </is>
      </c>
      <c r="B24" s="6" t="inlineStr">
        <is>
          <t>第1、2集引路人只有背影和声音，第3集摘斗笠是蔺晨（“你要是真死了，我找谁下棋？”）。结尾他在树上晃着脉动：“下一单，已经到了。”</t>
        </is>
      </c>
      <c r="C24" s="7" t="n"/>
      <c r="D24" s="7" t="n"/>
      <c r="E24" s="7" t="n"/>
      <c r="F24" s="8" t="n"/>
    </row>
    <row r="25" ht="36" customHeight="1">
      <c r="A25" s="6" t="inlineStr">
        <is>
          <t>第四瓶反转</t>
        </is>
      </c>
      <c r="B25" s="6" t="inlineStr">
        <is>
          <t>第3集被救者阿伟骑车闯进白色空间：“您好，您的外卖到了。我自己买的，还你。”——被救的人反过来递瓶救主角，植入有情感落点。</t>
        </is>
      </c>
      <c r="C25" s="7" t="n"/>
      <c r="D25" s="7" t="n"/>
      <c r="E25" s="7" t="n"/>
      <c r="F25" s="8" t="n"/>
    </row>
    <row r="26" ht="36" customHeight="1">
      <c r="A26" s="6" t="inlineStr">
        <is>
          <t>每集固定节奏</t>
        </is>
      </c>
      <c r="B26" s="6" t="inlineStr">
        <is>
          <t>前3秒钩子 → 踩到底（被小看/被欺负）→ 梅长苏递瓶 → 卖点特写 → 打脸 → 伤势愈合 → 结尾钩子。每集爽点在 60–100 秒。</t>
        </is>
      </c>
      <c r="C26" s="7" t="n"/>
      <c r="D26" s="7" t="n"/>
      <c r="E26" s="7" t="n"/>
      <c r="F26" s="8" t="n"/>
    </row>
    <row r="27"/>
    <row r="28" ht="32" customHeight="1">
      <c r="A28" s="4" t="inlineStr">
        <is>
          <t>四、植入原则</t>
        </is>
      </c>
    </row>
    <row r="29" ht="32" customHeight="1">
      <c r="A29" s="5" t="inlineStr">
        <is>
          <t>序号</t>
        </is>
      </c>
      <c r="B29" s="5" t="inlineStr">
        <is>
          <t>原则</t>
        </is>
      </c>
      <c r="C29" s="7" t="n"/>
      <c r="D29" s="7" t="n"/>
      <c r="E29" s="7" t="n"/>
      <c r="F29" s="8" t="n"/>
    </row>
    <row r="30" ht="32" customHeight="1">
      <c r="A30" s="6" t="inlineStr">
        <is>
          <t>1</t>
        </is>
      </c>
      <c r="B30" s="6" t="inlineStr">
        <is>
          <t>脉动是递给被救者的，不是梅长苏喝的；梅长苏负责谋略，被救者负责出手，脉动是对方“回过神、重新振作”的转折点。</t>
        </is>
      </c>
      <c r="C30" s="7" t="n"/>
      <c r="D30" s="7" t="n"/>
      <c r="E30" s="7" t="n"/>
      <c r="F30" s="8" t="n"/>
    </row>
    <row r="31" ht="32" customHeight="1">
      <c r="A31" s="6" t="inlineStr">
        <is>
          <t>2</t>
        </is>
      </c>
      <c r="B31" s="6" t="inlineStr">
        <is>
          <t>一集一个卖点，镜头给瓶身特写 + 念标签 + 大字幕，卖点台词只用官方口径。</t>
        </is>
      </c>
      <c r="C31" s="7" t="n"/>
      <c r="D31" s="7" t="n"/>
      <c r="E31" s="7" t="n"/>
      <c r="F31" s="8" t="n"/>
    </row>
    <row r="32" ht="32" customHeight="1">
      <c r="A32" s="6" t="inlineStr">
        <is>
          <t>3</t>
        </is>
      </c>
      <c r="B32" s="6" t="inlineStr">
        <is>
          <t>每集只用 2–4 个场景，镜头以人物近景和瓶身特写为主，不拍大场面，控制每分钟算力成本。</t>
        </is>
      </c>
      <c r="C32" s="7" t="n"/>
      <c r="D32" s="7" t="n"/>
      <c r="E32" s="7" t="n"/>
      <c r="F32" s="8" t="n"/>
    </row>
    <row r="33" ht="32" customHeight="1">
      <c r="A33" s="6" t="inlineStr">
        <is>
          <t>4</t>
        </is>
      </c>
      <c r="B33" s="6" t="inlineStr">
        <is>
          <t>产品必须服务剧情：喝完 → 状态回来 → 打脸，而不是硬插广告。</t>
        </is>
      </c>
      <c r="C33" s="7" t="n"/>
      <c r="D33" s="7" t="n"/>
      <c r="E33" s="7" t="n"/>
      <c r="F33" s="8" t="n"/>
    </row>
    <row r="34"/>
    <row r="35" ht="32" customHeight="1">
      <c r="A35" s="4" t="inlineStr">
        <is>
          <t>五、合规提示</t>
        </is>
      </c>
    </row>
    <row r="36" ht="32" customHeight="1">
      <c r="A36" s="5" t="inlineStr">
        <is>
          <t>序号</t>
        </is>
      </c>
      <c r="B36" s="5" t="inlineStr">
        <is>
          <t>提示</t>
        </is>
      </c>
      <c r="C36" s="7" t="n"/>
      <c r="D36" s="7" t="n"/>
      <c r="E36" s="7" t="n"/>
      <c r="F36" s="8" t="n"/>
    </row>
    <row r="37" ht="32" customHeight="1">
      <c r="A37" s="6" t="inlineStr">
        <is>
          <t>1</t>
        </is>
      </c>
      <c r="B37" s="6" t="inlineStr">
        <is>
          <t>只用官方说法：“脉动回来”“状态拉满”“闪充补水”“多维焕活”“清爽唤醒”。不写成治病、瞬间满血、喝了就变强。</t>
        </is>
      </c>
      <c r="C37" s="7" t="n"/>
      <c r="D37" s="7" t="n"/>
      <c r="E37" s="7" t="n"/>
      <c r="F37" s="8" t="n"/>
    </row>
    <row r="38" ht="32" customHeight="1">
      <c r="A38" s="6" t="inlineStr">
        <is>
          <t>2</t>
        </is>
      </c>
      <c r="B38" s="6" t="inlineStr">
        <is>
          <t>脉动不含咖啡因，第3集不写成靠它熬夜赶单，只写“喝完清爽，状态回来”。</t>
        </is>
      </c>
      <c r="C38" s="7" t="n"/>
      <c r="D38" s="7" t="n"/>
      <c r="E38" s="7" t="n"/>
      <c r="F38" s="8" t="n"/>
    </row>
    <row r="39" ht="32" customHeight="1">
      <c r="A39" s="6" t="inlineStr">
        <is>
          <t>3</t>
        </is>
      </c>
      <c r="B39" s="6" t="inlineStr">
        <is>
          <t>外卖小哥喝饮料只在停车休息时，不边骑边喝，避免被认为鼓励疲劳驾驶。</t>
        </is>
      </c>
      <c r="C39" s="7" t="n"/>
      <c r="D39" s="7" t="n"/>
      <c r="E39" s="7" t="n"/>
      <c r="F39" s="8" t="n"/>
    </row>
    <row r="40" ht="32" customHeight="1">
      <c r="A40" s="6" t="inlineStr">
        <is>
          <t>4</t>
        </is>
      </c>
      <c r="B40" s="6" t="inlineStr">
        <is>
          <t>剧情中“嗓子一下通了”“数字变清晰”是主观视角的戏剧化表达，不是功效声明。</t>
        </is>
      </c>
      <c r="C40" s="7" t="n"/>
      <c r="D40" s="7" t="n"/>
      <c r="E40" s="7" t="n"/>
      <c r="F40" s="8" t="n"/>
    </row>
    <row r="41" ht="32" customHeight="1">
      <c r="A41" s="6" t="inlineStr">
        <is>
          <t>5</t>
        </is>
      </c>
      <c r="B41" s="6" t="inlineStr">
        <is>
          <t>植入的款式（普通款 / 脉动+电解质）待确认，见“脉动卖点核对”。</t>
        </is>
      </c>
      <c r="C41" s="7" t="n"/>
      <c r="D41" s="7" t="n"/>
      <c r="E41" s="7" t="n"/>
      <c r="F41" s="8" t="n"/>
    </row>
  </sheetData>
  <mergeCells count="23">
    <mergeCell ref="B2:G2"/>
    <mergeCell ref="B25:F25"/>
    <mergeCell ref="B31:F31"/>
    <mergeCell ref="B22:F22"/>
    <mergeCell ref="B21:F21"/>
    <mergeCell ref="B39:F39"/>
    <mergeCell ref="B23:F23"/>
    <mergeCell ref="B29:F29"/>
    <mergeCell ref="B38:F38"/>
    <mergeCell ref="B28:F28"/>
    <mergeCell ref="B19:F19"/>
    <mergeCell ref="B37:F37"/>
    <mergeCell ref="B40:F40"/>
    <mergeCell ref="B3:G3"/>
    <mergeCell ref="B30:F30"/>
    <mergeCell ref="B24:F24"/>
    <mergeCell ref="B20:F20"/>
    <mergeCell ref="B33:F33"/>
    <mergeCell ref="B36:F36"/>
    <mergeCell ref="B32:F32"/>
    <mergeCell ref="B26:F26"/>
    <mergeCell ref="B41:F41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8" customWidth="1" min="4" max="4"/>
    <col width="52" customWidth="1" min="5" max="5"/>
    <col width="46" customWidth="1" min="6" max="6"/>
    <col width="36" customWidth="1" min="7" max="7"/>
    <col width="14" customWidth="1" min="8" max="8"/>
    <col width="12" customWidth="1" min="9" max="9"/>
    <col width="40" customWidth="1" min="10" max="10"/>
  </cols>
  <sheetData>
    <row r="1">
      <c r="A1" s="9" t="inlineStr">
        <is>
          <t>第 1 集《死了也要加班？》  卖点：三重维生素（C、B6、B3）· 多维焕活  被救者：Daniel（纽约交易员）  场景：雪夜山林、白色梦境、纽约交易大厅  约 2 分 10 秒</t>
        </is>
      </c>
    </row>
    <row r="2"/>
    <row r="3">
      <c r="A3" s="5" t="inlineStr">
        <is>
          <t>镜头号</t>
        </is>
      </c>
      <c r="B3" s="5" t="inlineStr">
        <is>
          <t>时间段</t>
        </is>
      </c>
      <c r="C3" s="5" t="inlineStr">
        <is>
          <t>时长(s)</t>
        </is>
      </c>
      <c r="D3" s="5" t="inlineStr">
        <is>
          <t>场景</t>
        </is>
      </c>
      <c r="E3" s="5" t="inlineStr">
        <is>
          <t>画面 / 动作</t>
        </is>
      </c>
      <c r="F3" s="5" t="inlineStr">
        <is>
          <t>台词 / 旁白</t>
        </is>
      </c>
      <c r="G3" s="5" t="inlineStr">
        <is>
          <t>大字幕 / 音效</t>
        </is>
      </c>
      <c r="H3" s="5" t="inlineStr">
        <is>
          <t>节拍标签</t>
        </is>
      </c>
      <c r="I3" s="5" t="inlineStr">
        <is>
          <t>景别建议</t>
        </is>
      </c>
      <c r="J3" s="5" t="inlineStr">
        <is>
          <t>备注</t>
        </is>
      </c>
    </row>
    <row r="4">
      <c r="A4" s="10" t="n">
        <v>0</v>
      </c>
      <c r="B4" s="10" t="inlineStr">
        <is>
          <t>0–3s</t>
        </is>
      </c>
      <c r="C4" s="10" t="n">
        <v>3</v>
      </c>
      <c r="D4" s="6" t="inlineStr">
        <is>
          <t>黑屏</t>
        </is>
      </c>
      <c r="E4" s="6" t="inlineStr">
        <is>
          <t>黑屏，一声剑响。</t>
        </is>
      </c>
      <c r="F4" s="6" t="inlineStr">
        <is>
          <t>（无台词）</t>
        </is>
      </c>
      <c r="G4" s="6" t="inlineStr">
        <is>
          <t>大字幕：“江左梅郎，开局就死。”
音效：剑响</t>
        </is>
      </c>
      <c r="H4" s="10" t="inlineStr">
        <is>
          <t>前3秒钩子</t>
        </is>
      </c>
      <c r="I4" s="10" t="inlineStr">
        <is>
          <t>特写</t>
        </is>
      </c>
      <c r="J4" s="6" t="inlineStr">
        <is>
          <t>镜头0 = 前3秒钩子，纯字幕+音效，几乎零生成成本</t>
        </is>
      </c>
    </row>
    <row r="5">
      <c r="A5" s="10" t="n">
        <v>1</v>
      </c>
      <c r="B5" s="10" t="inlineStr">
        <is>
          <t>3–12s</t>
        </is>
      </c>
      <c r="C5" s="10" t="n">
        <v>9</v>
      </c>
      <c r="D5" s="6" t="inlineStr">
        <is>
          <t>雪夜山林</t>
        </is>
      </c>
      <c r="E5" s="6" t="inlineStr">
        <is>
          <t>雪夜，梅长苏被刺客围住，一剑穿胸，他倒进雪里。</t>
        </is>
      </c>
      <c r="F5" s="6" t="inlineStr">
        <is>
          <t>（无台词）</t>
        </is>
      </c>
      <c r="G5" s="6" t="inlineStr">
        <is>
          <t>字幕：“天下第一谋士，死得挺快。”
音效：心跳声一下，两下，停。</t>
        </is>
      </c>
      <c r="H5" s="10" t="inlineStr">
        <is>
          <t>铺垫</t>
        </is>
      </c>
      <c r="I5" s="10" t="inlineStr">
        <is>
          <t>中景→特写</t>
        </is>
      </c>
      <c r="J5" s="6" t="inlineStr"/>
    </row>
    <row r="6">
      <c r="A6" s="10" t="n">
        <v>2</v>
      </c>
      <c r="B6" s="10" t="inlineStr">
        <is>
          <t>12–25s</t>
        </is>
      </c>
      <c r="C6" s="10" t="n">
        <v>13</v>
      </c>
      <c r="D6" s="6" t="inlineStr">
        <is>
          <t>白色梦境</t>
        </is>
      </c>
      <c r="E6" s="6" t="inlineStr">
        <is>
          <t>白色梦境，斗笠人递来三瓶脉动。</t>
        </is>
      </c>
      <c r="F6" s="6" t="inlineStr">
        <is>
          <t>引路人：“想活？去三个世界，救三个人。”
梅长苏：“凭什么？”
引路人：“凭他们喝了，会脉动回来。”</t>
        </is>
      </c>
      <c r="G6" s="6" t="inlineStr">
        <is>
          <t>字幕：“任务一：救一个快猝死的。”</t>
        </is>
      </c>
      <c r="H6" s="10" t="inlineStr">
        <is>
          <t>铺垫</t>
        </is>
      </c>
      <c r="I6" s="10" t="inlineStr">
        <is>
          <t>中景</t>
        </is>
      </c>
      <c r="J6" s="6" t="inlineStr">
        <is>
          <t>引路人只给背影，不露脸（第3集揭晓是蔺晨）</t>
        </is>
      </c>
    </row>
    <row r="7">
      <c r="A7" s="10" t="n">
        <v>3</v>
      </c>
      <c r="B7" s="10" t="inlineStr">
        <is>
          <t>25–38s</t>
        </is>
      </c>
      <c r="C7" s="10" t="n">
        <v>13</v>
      </c>
      <c r="D7" s="6" t="inlineStr">
        <is>
          <t>纽约交易大厅</t>
        </is>
      </c>
      <c r="E7" s="6" t="inlineStr">
        <is>
          <t>纽约交易大厅，红屏一片。梅长苏一身古装站着，路人投来异样眼光。
Daniel 趴在桌上，眼睛通红。
上司拍桌。</t>
        </is>
      </c>
      <c r="F7" s="6" t="inlineStr">
        <is>
          <t>上司：“你再不平仓，今晚就别走！”
Daniel：（咬牙）“……是。”</t>
        </is>
      </c>
      <c r="G7" s="6" t="inlineStr">
        <is>
          <t>字幕：“连续加班 72 小时。”</t>
        </is>
      </c>
      <c r="H7" s="10" t="inlineStr">
        <is>
          <t>铺垫</t>
        </is>
      </c>
      <c r="I7" s="10" t="inlineStr">
        <is>
          <t>中景</t>
        </is>
      </c>
      <c r="J7" s="6" t="inlineStr"/>
    </row>
    <row r="8">
      <c r="A8" s="10" t="n">
        <v>4</v>
      </c>
      <c r="B8" s="10" t="inlineStr">
        <is>
          <t>38–50s</t>
        </is>
      </c>
      <c r="C8" s="10" t="n">
        <v>12</v>
      </c>
      <c r="D8" s="6" t="inlineStr">
        <is>
          <t>纽约交易大厅</t>
        </is>
      </c>
      <c r="E8" s="6" t="inlineStr">
        <is>
          <t>上司当众把文件摔在他脸上。
Daniel 手一抖，点错了单。屏幕：亏损 200 万。
全场安静。</t>
        </is>
      </c>
      <c r="F8" s="6" t="inlineStr">
        <is>
          <t>上司：“废物！”</t>
        </is>
      </c>
      <c r="G8" s="6" t="inlineStr">
        <is>
          <t>屏幕字：亏损 200 万</t>
        </is>
      </c>
      <c r="H8" s="10" t="inlineStr">
        <is>
          <t>踩到底</t>
        </is>
      </c>
      <c r="I8" s="10" t="inlineStr">
        <is>
          <t>近景</t>
        </is>
      </c>
      <c r="J8" s="6" t="inlineStr"/>
    </row>
    <row r="9">
      <c r="A9" s="10" t="n">
        <v>5</v>
      </c>
      <c r="B9" s="10" t="inlineStr">
        <is>
          <t>50–62s</t>
        </is>
      </c>
      <c r="C9" s="10" t="n">
        <v>12</v>
      </c>
      <c r="D9" s="6" t="inlineStr">
        <is>
          <t>纽约交易大厅</t>
        </is>
      </c>
      <c r="E9" s="6" t="inlineStr">
        <is>
          <t>梅长苏蹲到 Daniel 面前，拧开脉动递过去。</t>
        </is>
      </c>
      <c r="F9" s="6" t="inlineStr">
        <is>
          <t>梅长苏：“喝。”
Daniel：“没空。”
梅长苏：“你不是笨，是累过头了。”</t>
        </is>
      </c>
      <c r="G9" s="6" t="inlineStr"/>
      <c r="H9" s="10" t="inlineStr">
        <is>
          <t>递瓶</t>
        </is>
      </c>
      <c r="I9" s="10" t="inlineStr">
        <is>
          <t>近景</t>
        </is>
      </c>
      <c r="J9" s="6" t="inlineStr">
        <is>
          <t>固定动作：先拧开瓶盖再递（三集一致）</t>
        </is>
      </c>
    </row>
    <row r="10">
      <c r="A10" s="10" t="n">
        <v>6</v>
      </c>
      <c r="B10" s="10" t="inlineStr">
        <is>
          <t>62–74s</t>
        </is>
      </c>
      <c r="C10" s="10" t="n">
        <v>12</v>
      </c>
      <c r="D10" s="6" t="inlineStr">
        <is>
          <t>纽约交易大厅</t>
        </is>
      </c>
      <c r="E10" s="6" t="inlineStr">
        <is>
          <t>瓶身特写。
Daniel 喝下，眼睛一亮，镜头切成他的主观视角：屏幕上的数字一行行变清晰。</t>
        </is>
      </c>
      <c r="F10" s="6" t="inlineStr">
        <is>
          <t>梅长苏（念标签）：“维生素C，B6，B3，三味合一。”</t>
        </is>
      </c>
      <c r="G10" s="6" t="inlineStr">
        <is>
          <t>大字幕：三重维生素，多维焕活
音效：叮</t>
        </is>
      </c>
      <c r="H10" s="10" t="inlineStr">
        <is>
          <t>卖点</t>
        </is>
      </c>
      <c r="I10" s="10" t="inlineStr">
        <is>
          <t>特写</t>
        </is>
      </c>
      <c r="J10" s="6" t="inlineStr">
        <is>
          <t>“数字变清晰”为主观视角的戏剧化表达，不是功效声明</t>
        </is>
      </c>
    </row>
    <row r="11">
      <c r="A11" s="10" t="n">
        <v>7</v>
      </c>
      <c r="B11" s="10" t="inlineStr">
        <is>
          <t>74–100s</t>
        </is>
      </c>
      <c r="C11" s="10" t="n">
        <v>26</v>
      </c>
      <c r="D11" s="6" t="inlineStr">
        <is>
          <t>纽约交易大厅</t>
        </is>
      </c>
      <c r="E11" s="6" t="inlineStr">
        <is>
          <t>Daniel 站起来。他一键调出邮件，授权人签名赫然是上司的名字。
上司脸色惨白。
全场哗然，他把工牌扔在桌上，转身就走。</t>
        </is>
      </c>
      <c r="F11" s="6" t="inlineStr">
        <is>
          <t>Daniel：“这笔单，不是我下的。”
上司：“你……”
Daniel：“72 小时，我只是没空说。”</t>
        </is>
      </c>
      <c r="G11" s="6" t="inlineStr">
        <is>
          <t>音效：重击一声</t>
        </is>
      </c>
      <c r="H11" s="10" t="inlineStr">
        <is>
          <t>打脸</t>
        </is>
      </c>
      <c r="I11" s="10" t="inlineStr">
        <is>
          <t>中景→特写</t>
        </is>
      </c>
      <c r="J11" s="6" t="inlineStr"/>
    </row>
    <row r="12">
      <c r="A12" s="10" t="n">
        <v>8</v>
      </c>
      <c r="B12" s="10" t="inlineStr">
        <is>
          <t>100–115s</t>
        </is>
      </c>
      <c r="C12" s="10" t="n">
        <v>15</v>
      </c>
      <c r="D12" s="6" t="inlineStr">
        <is>
          <t>纽约交易大厅</t>
        </is>
      </c>
      <c r="E12" s="6" t="inlineStr">
        <is>
          <t>梅长苏身上亮起一道光，伤口淡了一圈。</t>
        </is>
      </c>
      <c r="F12" s="6" t="inlineStr">
        <is>
          <t>（无台词）</t>
        </is>
      </c>
      <c r="G12" s="6" t="inlineStr">
        <is>
          <t>字幕：“伤势愈合 1/3。”</t>
        </is>
      </c>
      <c r="H12" s="10" t="inlineStr">
        <is>
          <t>愈合</t>
        </is>
      </c>
      <c r="I12" s="10" t="inlineStr">
        <is>
          <t>近景</t>
        </is>
      </c>
      <c r="J12" s="6" t="inlineStr"/>
    </row>
    <row r="13">
      <c r="A13" s="10" t="n">
        <v>9</v>
      </c>
      <c r="B13" s="10" t="inlineStr">
        <is>
          <t>115–130s</t>
        </is>
      </c>
      <c r="C13" s="10" t="n">
        <v>15</v>
      </c>
      <c r="D13" s="6" t="inlineStr">
        <is>
          <t>白色梦境</t>
        </is>
      </c>
      <c r="E13" s="6" t="inlineStr">
        <is>
          <t>白色空间里，引路人的背影忽然开口。
画面一黑，是女孩的哭声。</t>
        </is>
      </c>
      <c r="F13" s="6" t="inlineStr">
        <is>
          <t>引路人：“第二个人，比你想的难救。”
梅长苏：“哦？”</t>
        </is>
      </c>
      <c r="G13" s="6" t="inlineStr">
        <is>
          <t>音效：女孩的哭声</t>
        </is>
      </c>
      <c r="H13" s="10" t="inlineStr">
        <is>
          <t>结尾钩子</t>
        </is>
      </c>
      <c r="I13" s="10" t="inlineStr">
        <is>
          <t>中景</t>
        </is>
      </c>
      <c r="J13" s="6" t="inlineStr"/>
    </row>
    <row r="14">
      <c r="B14" s="11" t="inlineStr">
        <is>
          <t>合计时长</t>
        </is>
      </c>
      <c r="C14" s="12">
        <f>SUM(C4:C13)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8" customWidth="1" min="4" max="4"/>
    <col width="52" customWidth="1" min="5" max="5"/>
    <col width="46" customWidth="1" min="6" max="6"/>
    <col width="36" customWidth="1" min="7" max="7"/>
    <col width="14" customWidth="1" min="8" max="8"/>
    <col width="12" customWidth="1" min="9" max="9"/>
    <col width="40" customWidth="1" min="10" max="10"/>
  </cols>
  <sheetData>
    <row r="1">
      <c r="A1" s="9" t="inlineStr">
        <is>
          <t>第 2 集《被霸凌？直播反杀！》  卖点：三连电解质（钾、钠、氯）· 闪充补水  被救者：Hana（女团成员）  场景：首尔练习室、后台、直播舞台、白色梦境  约 2 分 20 秒</t>
        </is>
      </c>
    </row>
    <row r="2"/>
    <row r="3">
      <c r="A3" s="5" t="inlineStr">
        <is>
          <t>镜头号</t>
        </is>
      </c>
      <c r="B3" s="5" t="inlineStr">
        <is>
          <t>时间段</t>
        </is>
      </c>
      <c r="C3" s="5" t="inlineStr">
        <is>
          <t>时长(s)</t>
        </is>
      </c>
      <c r="D3" s="5" t="inlineStr">
        <is>
          <t>场景</t>
        </is>
      </c>
      <c r="E3" s="5" t="inlineStr">
        <is>
          <t>画面 / 动作</t>
        </is>
      </c>
      <c r="F3" s="5" t="inlineStr">
        <is>
          <t>台词 / 旁白</t>
        </is>
      </c>
      <c r="G3" s="5" t="inlineStr">
        <is>
          <t>大字幕 / 音效</t>
        </is>
      </c>
      <c r="H3" s="5" t="inlineStr">
        <is>
          <t>节拍标签</t>
        </is>
      </c>
      <c r="I3" s="5" t="inlineStr">
        <is>
          <t>景别建议</t>
        </is>
      </c>
      <c r="J3" s="5" t="inlineStr">
        <is>
          <t>备注</t>
        </is>
      </c>
    </row>
    <row r="4">
      <c r="A4" s="10" t="n">
        <v>0</v>
      </c>
      <c r="B4" s="10" t="inlineStr">
        <is>
          <t>0–3s</t>
        </is>
      </c>
      <c r="C4" s="10" t="n">
        <v>3</v>
      </c>
      <c r="D4" s="6" t="inlineStr">
        <is>
          <t>（黑屏/声音先入）</t>
        </is>
      </c>
      <c r="E4" s="6" t="inlineStr">
        <is>
          <t>（画面从声音切入）</t>
        </is>
      </c>
      <c r="F4" s="6" t="inlineStr">
        <is>
          <t>（女孩的尖叫）</t>
        </is>
      </c>
      <c r="G4" s="6" t="inlineStr">
        <is>
          <t>大字幕：“她被整整霸凌了 6 个月。”
音效：女孩尖叫</t>
        </is>
      </c>
      <c r="H4" s="10" t="inlineStr">
        <is>
          <t>前3秒钩子</t>
        </is>
      </c>
      <c r="I4" s="10" t="inlineStr">
        <is>
          <t>特写</t>
        </is>
      </c>
      <c r="J4" s="6" t="inlineStr">
        <is>
          <t>镜头0 = 前3秒钩子</t>
        </is>
      </c>
    </row>
    <row r="5">
      <c r="A5" s="10" t="n">
        <v>1</v>
      </c>
      <c r="B5" s="10" t="inlineStr">
        <is>
          <t>3–15s</t>
        </is>
      </c>
      <c r="C5" s="10" t="n">
        <v>12</v>
      </c>
      <c r="D5" s="6" t="inlineStr">
        <is>
          <t>首尔练习室</t>
        </is>
      </c>
      <c r="E5" s="6" t="inlineStr">
        <is>
          <t>首尔，练习室。Hana 满头大汗，却被队长 Jina 一脚踢翻水杯。
队友们笑成一片。</t>
        </is>
      </c>
      <c r="F5" s="6" t="inlineStr">
        <is>
          <t>Jina：“你配站 C 位？”</t>
        </is>
      </c>
      <c r="G5" s="6" t="inlineStr"/>
      <c r="H5" s="10" t="inlineStr">
        <is>
          <t>铺垫</t>
        </is>
      </c>
      <c r="I5" s="10" t="inlineStr">
        <is>
          <t>中景</t>
        </is>
      </c>
      <c r="J5" s="6" t="inlineStr"/>
    </row>
    <row r="6">
      <c r="A6" s="10" t="n">
        <v>2</v>
      </c>
      <c r="B6" s="10" t="inlineStr">
        <is>
          <t>15–28s</t>
        </is>
      </c>
      <c r="C6" s="10" t="n">
        <v>13</v>
      </c>
      <c r="D6" s="6" t="inlineStr">
        <is>
          <t>首尔后台</t>
        </is>
      </c>
      <c r="E6" s="6" t="inlineStr">
        <is>
          <t>后台，Hana 的耳返被扔进垃圾桶，音乐被改成了错的版本。
Hana 蹲在地上，嗓子已经哑了。</t>
        </is>
      </c>
      <c r="F6" s="6" t="inlineStr">
        <is>
          <t>Jina：“直播见，哑巴。”</t>
        </is>
      </c>
      <c r="G6" s="6" t="inlineStr"/>
      <c r="H6" s="10" t="inlineStr">
        <is>
          <t>铺垫</t>
        </is>
      </c>
      <c r="I6" s="10" t="inlineStr">
        <is>
          <t>近景</t>
        </is>
      </c>
      <c r="J6" s="6" t="inlineStr"/>
    </row>
    <row r="7">
      <c r="A7" s="10" t="n">
        <v>3</v>
      </c>
      <c r="B7" s="10" t="inlineStr">
        <is>
          <t>28–42s</t>
        </is>
      </c>
      <c r="C7" s="10" t="n">
        <v>14</v>
      </c>
      <c r="D7" s="6" t="inlineStr">
        <is>
          <t>首尔后台</t>
        </is>
      </c>
      <c r="E7" s="6" t="inlineStr">
        <is>
          <t>弹幕刷出。直播倒计时 5 分钟。
梅长苏出现，蹲下，拧开脉动递给她。</t>
        </is>
      </c>
      <c r="F7" s="6" t="inlineStr">
        <is>
          <t>梅长苏：“喝。你汗出太多了。”</t>
        </is>
      </c>
      <c r="G7" s="6" t="inlineStr">
        <is>
          <t>弹幕：“这谁啊？唱得什么玩意。”
字幕：直播倒计时 5 分钟</t>
        </is>
      </c>
      <c r="H7" s="10" t="inlineStr">
        <is>
          <t>踩到底 + 递瓶</t>
        </is>
      </c>
      <c r="I7" s="10" t="inlineStr">
        <is>
          <t>近景</t>
        </is>
      </c>
      <c r="J7" s="6" t="inlineStr">
        <is>
          <t>固定动作：先拧开瓶盖再递</t>
        </is>
      </c>
    </row>
    <row r="8">
      <c r="A8" s="10" t="n">
        <v>4</v>
      </c>
      <c r="B8" s="10" t="inlineStr">
        <is>
          <t>42–55s</t>
        </is>
      </c>
      <c r="C8" s="10" t="n">
        <v>13</v>
      </c>
      <c r="D8" s="6" t="inlineStr">
        <is>
          <t>首尔后台</t>
        </is>
      </c>
      <c r="E8" s="6" t="inlineStr">
        <is>
          <t>瓶身特写。
Hana 喝下，嗓子一下通了，试唱一句，音准回来。</t>
        </is>
      </c>
      <c r="F8" s="6" t="inlineStr">
        <is>
          <t>梅长苏：“钾、钠、氯，三种盐。出汗丢的，就是这个。”</t>
        </is>
      </c>
      <c r="G8" s="6" t="inlineStr">
        <is>
          <t>大字幕：三连电解质，闪充补水
音效：叮</t>
        </is>
      </c>
      <c r="H8" s="10" t="inlineStr">
        <is>
          <t>卖点</t>
        </is>
      </c>
      <c r="I8" s="10" t="inlineStr">
        <is>
          <t>特写</t>
        </is>
      </c>
      <c r="J8" s="6" t="inlineStr">
        <is>
          <t>“嗓子一下通了”为戏剧化表达，不是功效声明；台词只讲“出汗丢的盐”，不夸大</t>
        </is>
      </c>
    </row>
    <row r="9">
      <c r="A9" s="10" t="n">
        <v>5</v>
      </c>
      <c r="B9" s="10" t="inlineStr">
        <is>
          <t>55–70s</t>
        </is>
      </c>
      <c r="C9" s="10" t="n">
        <v>15</v>
      </c>
      <c r="D9" s="6" t="inlineStr">
        <is>
          <t>首尔后台</t>
        </is>
      </c>
      <c r="E9" s="6" t="inlineStr">
        <is>
          <t>梅长苏凑近她耳边，三句话。
Hana 眼神变了。</t>
        </is>
      </c>
      <c r="F9" s="6" t="inlineStr">
        <is>
          <t>梅长苏：“耳返没了，不要耳返。音乐错了，不跟音乐。”
梅长苏：“无伴奏，开口就是。”
Hana：“我懂了。”</t>
        </is>
      </c>
      <c r="G9" s="6" t="inlineStr"/>
      <c r="H9" s="10" t="inlineStr">
        <is>
          <t>计策</t>
        </is>
      </c>
      <c r="I9" s="10" t="inlineStr">
        <is>
          <t>近景</t>
        </is>
      </c>
      <c r="J9" s="6" t="inlineStr"/>
    </row>
    <row r="10">
      <c r="A10" s="10" t="n">
        <v>6</v>
      </c>
      <c r="B10" s="10" t="inlineStr">
        <is>
          <t>70–100s</t>
        </is>
      </c>
      <c r="C10" s="10" t="n">
        <v>30</v>
      </c>
      <c r="D10" s="6" t="inlineStr">
        <is>
          <t>直播舞台 / 后台监控</t>
        </is>
      </c>
      <c r="E10" s="6" t="inlineStr">
        <is>
          <t>直播开始，错误的音乐响起，全场尴尬。
Hana 摘掉耳麦，关掉伴奏，清唱，一边唱一边跳。
镜头一转，后台监控：Jina 的手伸向音控台，被抓个正着。</t>
        </is>
      </c>
      <c r="F10" s="6" t="inlineStr">
        <is>
          <t>（Hana 清唱）</t>
        </is>
      </c>
      <c r="G10" s="6" t="inlineStr">
        <is>
          <t>弹幕：“这是现场？！”</t>
        </is>
      </c>
      <c r="H10" s="10" t="inlineStr">
        <is>
          <t>打脸</t>
        </is>
      </c>
      <c r="I10" s="10" t="inlineStr">
        <is>
          <t>中景→特写</t>
        </is>
      </c>
      <c r="J10" s="6" t="inlineStr">
        <is>
          <t>监控画面可用屏幕特写，成本低</t>
        </is>
      </c>
    </row>
    <row r="11">
      <c r="A11" s="10" t="n">
        <v>7</v>
      </c>
      <c r="B11" s="10" t="inlineStr">
        <is>
          <t>100–125s</t>
        </is>
      </c>
      <c r="C11" s="10" t="n">
        <v>25</v>
      </c>
      <c r="D11" s="6" t="inlineStr">
        <is>
          <t>直播舞台</t>
        </is>
      </c>
      <c r="E11" s="6" t="inlineStr">
        <is>
          <t>Jina 脸色煞白，被工作人员带走。Hana 唱完最后一句，全场起立。
梅长苏在幕布后点头，身上又亮了一次光。</t>
        </is>
      </c>
      <c r="F11" s="6" t="inlineStr">
        <is>
          <t>（无台词）</t>
        </is>
      </c>
      <c r="G11" s="6" t="inlineStr">
        <is>
          <t>弹幕：“原来是她改的音乐！”
字幕：“伤势愈合 2/3。”</t>
        </is>
      </c>
      <c r="H11" s="10" t="inlineStr">
        <is>
          <t>打脸 + 愈合</t>
        </is>
      </c>
      <c r="I11" s="10" t="inlineStr">
        <is>
          <t>中景</t>
        </is>
      </c>
      <c r="J11" s="6" t="inlineStr"/>
    </row>
    <row r="12">
      <c r="A12" s="10" t="n">
        <v>8</v>
      </c>
      <c r="B12" s="10" t="inlineStr">
        <is>
          <t>125–140s</t>
        </is>
      </c>
      <c r="C12" s="10" t="n">
        <v>15</v>
      </c>
      <c r="D12" s="6" t="inlineStr">
        <is>
          <t>白色梦境 / 暴雨街头</t>
        </is>
      </c>
      <c r="E12" s="6" t="inlineStr">
        <is>
          <t>梅长苏回到白色空间，只剩最后一瓶脉动。
画面一黑，雨声和一声电动车急刹。</t>
        </is>
      </c>
      <c r="F12" s="6" t="inlineStr">
        <is>
          <t>引路人：“最后一个，在雨里。”
梅长苏：“雨里？”
引路人：“他快把电动车扔了。”</t>
        </is>
      </c>
      <c r="G12" s="6" t="inlineStr">
        <is>
          <t>音效：雨声、电动车急刹</t>
        </is>
      </c>
      <c r="H12" s="10" t="inlineStr">
        <is>
          <t>结尾钩子</t>
        </is>
      </c>
      <c r="I12" s="10" t="inlineStr">
        <is>
          <t>中景</t>
        </is>
      </c>
      <c r="J12" s="6" t="inlineStr">
        <is>
          <t>已替换为 t160 版结尾，对接第3集外卖小哥</t>
        </is>
      </c>
    </row>
    <row r="13">
      <c r="B13" s="11" t="inlineStr">
        <is>
          <t>合计时长</t>
        </is>
      </c>
      <c r="C13" s="12">
        <f>SUM(C4:C12)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18" customWidth="1" min="4" max="4"/>
    <col width="52" customWidth="1" min="5" max="5"/>
    <col width="46" customWidth="1" min="6" max="6"/>
    <col width="36" customWidth="1" min="7" max="7"/>
    <col width="14" customWidth="1" min="8" max="8"/>
    <col width="12" customWidth="1" min="9" max="9"/>
    <col width="40" customWidth="1" min="10" max="10"/>
  </cols>
  <sheetData>
    <row r="1">
      <c r="A1" s="9" t="inlineStr">
        <is>
          <t>第 3 集《暴雨夜，差评别想要我命》  卖点：清爽果味 · 清爽唤醒  被救者：阿伟（外卖小哥）  场景：暴雨街头、小区楼道、白色梦境、雪夜山林  约 2 分 40 秒</t>
        </is>
      </c>
    </row>
    <row r="2"/>
    <row r="3">
      <c r="A3" s="5" t="inlineStr">
        <is>
          <t>镜头号</t>
        </is>
      </c>
      <c r="B3" s="5" t="inlineStr">
        <is>
          <t>时间段</t>
        </is>
      </c>
      <c r="C3" s="5" t="inlineStr">
        <is>
          <t>时长(s)</t>
        </is>
      </c>
      <c r="D3" s="5" t="inlineStr">
        <is>
          <t>场景</t>
        </is>
      </c>
      <c r="E3" s="5" t="inlineStr">
        <is>
          <t>画面 / 动作</t>
        </is>
      </c>
      <c r="F3" s="5" t="inlineStr">
        <is>
          <t>台词 / 旁白</t>
        </is>
      </c>
      <c r="G3" s="5" t="inlineStr">
        <is>
          <t>大字幕 / 音效</t>
        </is>
      </c>
      <c r="H3" s="5" t="inlineStr">
        <is>
          <t>节拍标签</t>
        </is>
      </c>
      <c r="I3" s="5" t="inlineStr">
        <is>
          <t>景别建议</t>
        </is>
      </c>
      <c r="J3" s="5" t="inlineStr">
        <is>
          <t>备注</t>
        </is>
      </c>
    </row>
    <row r="4">
      <c r="A4" s="10" t="n">
        <v>0</v>
      </c>
      <c r="B4" s="10" t="inlineStr">
        <is>
          <t>0–3s</t>
        </is>
      </c>
      <c r="C4" s="10" t="n">
        <v>3</v>
      </c>
      <c r="D4" s="6" t="inlineStr">
        <is>
          <t>暴雨街头</t>
        </is>
      </c>
      <c r="E4" s="6" t="inlineStr">
        <is>
          <t>雨声炸开。</t>
        </is>
      </c>
      <c r="F4" s="6" t="inlineStr">
        <is>
          <t>（无台词）</t>
        </is>
      </c>
      <c r="G4" s="6" t="inlineStr">
        <is>
          <t>大字幕：“他跑了 14 个小时，今晚要被扣光工资。”
音效：雨声炸开</t>
        </is>
      </c>
      <c r="H4" s="10" t="inlineStr">
        <is>
          <t>前3秒钩子</t>
        </is>
      </c>
      <c r="I4" s="10" t="inlineStr">
        <is>
          <t>特写</t>
        </is>
      </c>
      <c r="J4" s="6" t="inlineStr">
        <is>
          <t>镜头0 = 前3秒钩子</t>
        </is>
      </c>
    </row>
    <row r="5">
      <c r="A5" s="10" t="n">
        <v>1</v>
      </c>
      <c r="B5" s="10" t="inlineStr">
        <is>
          <t>3–15s</t>
        </is>
      </c>
      <c r="C5" s="10" t="n">
        <v>12</v>
      </c>
      <c r="D5" s="6" t="inlineStr">
        <is>
          <t>暴雨街头</t>
        </is>
      </c>
      <c r="E5" s="6" t="inlineStr">
        <is>
          <t>暴雨夜，外卖小哥阿伟浑身湿透，电动车停在路边。
手机里弹出投诉通知。阿伟看着手机，嘴唇发白，手在抖。</t>
        </is>
      </c>
      <c r="F5" s="6" t="inlineStr">
        <is>
          <t>（无台词）</t>
        </is>
      </c>
      <c r="G5" s="6" t="inlineStr">
        <is>
          <t>手机屏幕：“顾客投诉：餐没送到。判定：超时、未送达，扣款 380 元。”</t>
        </is>
      </c>
      <c r="H5" s="10" t="inlineStr">
        <is>
          <t>铺垫</t>
        </is>
      </c>
      <c r="I5" s="10" t="inlineStr">
        <is>
          <t>中景→手机特写</t>
        </is>
      </c>
      <c r="J5" s="6" t="inlineStr"/>
    </row>
    <row r="6">
      <c r="A6" s="10" t="n">
        <v>2</v>
      </c>
      <c r="B6" s="10" t="inlineStr">
        <is>
          <t>15–28s</t>
        </is>
      </c>
      <c r="C6" s="10" t="n">
        <v>13</v>
      </c>
      <c r="D6" s="6" t="inlineStr">
        <is>
          <t>暴雨街头</t>
        </is>
      </c>
      <c r="E6" s="6" t="inlineStr">
        <is>
          <t>电话被挂断。
阿伟蹲在雨里，把头盔摘下来，扔进了积水里。</t>
        </is>
      </c>
      <c r="F6" s="6" t="inlineStr">
        <is>
          <t>顾客（电话）：“我根本没收到！你们外卖的，就会撒谎。”
阿伟：“我放门口了……我拍了照……”
顾客：“照片？谁信？”</t>
        </is>
      </c>
      <c r="G6" s="6" t="inlineStr">
        <is>
          <t>字幕：“他想不干了。”</t>
        </is>
      </c>
      <c r="H6" s="10" t="inlineStr">
        <is>
          <t>踩到底</t>
        </is>
      </c>
      <c r="I6" s="10" t="inlineStr">
        <is>
          <t>近景</t>
        </is>
      </c>
      <c r="J6" s="6" t="inlineStr"/>
    </row>
    <row r="7">
      <c r="A7" s="10" t="n">
        <v>3</v>
      </c>
      <c r="B7" s="10" t="inlineStr">
        <is>
          <t>28–42s</t>
        </is>
      </c>
      <c r="C7" s="10" t="n">
        <v>14</v>
      </c>
      <c r="D7" s="6" t="inlineStr">
        <is>
          <t>暴雨街头</t>
        </is>
      </c>
      <c r="E7" s="6" t="inlineStr">
        <is>
          <t>梅长苏撑着一把古伞走来，替他挡住雨，捡起头盔，擦干，递给他。
他从袖中拿出最后一瓶脉动，拧开，递过去。</t>
        </is>
      </c>
      <c r="F7" s="6" t="inlineStr">
        <is>
          <t>梅长苏：“先别扔。”
阿伟：“你谁啊？”
梅长苏：“替你翻盘的人。”
梅长苏：“先停下来，喝一口。”</t>
        </is>
      </c>
      <c r="G7" s="6" t="inlineStr"/>
      <c r="H7" s="10" t="inlineStr">
        <is>
          <t>递瓶</t>
        </is>
      </c>
      <c r="I7" s="10" t="inlineStr">
        <is>
          <t>中景→近景</t>
        </is>
      </c>
      <c r="J7" s="6" t="inlineStr">
        <is>
          <t>固定动作：先拧开瓶盖再递；强调“先停下来”，喝水时人是停着的</t>
        </is>
      </c>
    </row>
    <row r="8">
      <c r="A8" s="10" t="n">
        <v>4</v>
      </c>
      <c r="B8" s="10" t="inlineStr">
        <is>
          <t>42–58s</t>
        </is>
      </c>
      <c r="C8" s="10" t="n">
        <v>16</v>
      </c>
      <c r="D8" s="6" t="inlineStr">
        <is>
          <t>暴雨街头</t>
        </is>
      </c>
      <c r="E8" s="6" t="inlineStr">
        <is>
          <t>阿伟喝了一口，愣住。
瓶身特写。
阿伟的主观视角：雨声退远，眼前的雾气像被擦开了一样。他看清了手机相册里的送达照片。</t>
        </is>
      </c>
      <c r="F8" s="6" t="inlineStr">
        <is>
          <t>梅长苏（念标签）：“果香清爽，入口不腻。”</t>
        </is>
      </c>
      <c r="G8" s="6" t="inlineStr">
        <is>
          <t>大字幕：清爽果味，清爽唤醒
音效：叮</t>
        </is>
      </c>
      <c r="H8" s="10" t="inlineStr">
        <is>
          <t>卖点</t>
        </is>
      </c>
      <c r="I8" s="10" t="inlineStr">
        <is>
          <t>特写</t>
        </is>
      </c>
      <c r="J8" s="6" t="inlineStr">
        <is>
          <t>画面提示：喝饮料时，他是停在路边休息，不是边骑边喝。脉动无咖啡因，只写“清爽唤醒”，不写成熬夜赶单</t>
        </is>
      </c>
    </row>
    <row r="9">
      <c r="A9" s="10" t="n">
        <v>5</v>
      </c>
      <c r="B9" s="10" t="inlineStr">
        <is>
          <t>58–72s</t>
        </is>
      </c>
      <c r="C9" s="10" t="n">
        <v>14</v>
      </c>
      <c r="D9" s="6" t="inlineStr">
        <is>
          <t>暴雨街头</t>
        </is>
      </c>
      <c r="E9" s="6" t="inlineStr">
        <is>
          <t>梅长苏看着照片。</t>
        </is>
      </c>
      <c r="F9" s="6" t="inlineStr">
        <is>
          <t>梅长苏：“你每一单都拍了送达照。时间、门牌、你的影子，都在里面。”
阿伟：“我忘了，还有这个。”
梅长苏：“还有一样，你敲门的时候，对面楼道有个摄像头。”
阿伟：“对！那个小区新装的！”
梅长苏：“去敲门。这次，你不是去送餐，是去要回你的清白。”</t>
        </is>
      </c>
      <c r="G9" s="6" t="inlineStr"/>
      <c r="H9" s="10" t="inlineStr">
        <is>
          <t>计策</t>
        </is>
      </c>
      <c r="I9" s="10" t="inlineStr">
        <is>
          <t>近景</t>
        </is>
      </c>
      <c r="J9" s="6" t="inlineStr"/>
    </row>
    <row r="10">
      <c r="A10" s="10" t="n">
        <v>6</v>
      </c>
      <c r="B10" s="10" t="inlineStr">
        <is>
          <t>72–102s</t>
        </is>
      </c>
      <c r="C10" s="10" t="n">
        <v>30</v>
      </c>
      <c r="D10" s="6" t="inlineStr">
        <is>
          <t>小区楼道</t>
        </is>
      </c>
      <c r="E10" s="6" t="inlineStr">
        <is>
          <t>小区楼道，顾客开门，一脸不耐烦。
阿伟举起手机，屏幕上是送达照片，门口地垫上，餐袋清清楚楚。
物业保安恰好经过。
顾客脸一下白了。</t>
        </is>
      </c>
      <c r="F10" s="6" t="inlineStr">
        <is>
          <t>顾客：“又是你？”
阿伟：“19 点 42 分，您家门口。”
顾客：“那……那可能被别人拿了。”
保安：“我调了监控。19 点 43 分，是您自己开门拿进去的。”
保安：“还有，您平台上已经是第三次‘没收到’了。”
顾客：“你们……”
阿伟：（一字一句）“您不是没收到，是不想付钱。”</t>
        </is>
      </c>
      <c r="G10" s="6" t="inlineStr"/>
      <c r="H10" s="10" t="inlineStr">
        <is>
          <t>打脸</t>
        </is>
      </c>
      <c r="I10" s="10" t="inlineStr">
        <is>
          <t>近景→特写</t>
        </is>
      </c>
      <c r="J10" s="6" t="inlineStr">
        <is>
          <t>手机照片、监控截图用屏幕特写，成本低</t>
        </is>
      </c>
    </row>
    <row r="11">
      <c r="A11" s="10" t="n">
        <v>7</v>
      </c>
      <c r="B11" s="10" t="inlineStr">
        <is>
          <t>102–115s</t>
        </is>
      </c>
      <c r="C11" s="10" t="n">
        <v>13</v>
      </c>
      <c r="D11" s="6" t="inlineStr">
        <is>
          <t>小区楼道 / 雨夜</t>
        </is>
      </c>
      <c r="E11" s="6" t="inlineStr">
        <is>
          <t>平台通知弹出。
阿伟看着手机，眼泪终于掉下来，笑了。
梅长苏身上亮起光，伤口只剩最后一小块。</t>
        </is>
      </c>
      <c r="F11" s="6" t="inlineStr">
        <is>
          <t>（无台词）</t>
        </is>
      </c>
      <c r="G11" s="6" t="inlineStr">
        <is>
          <t>手机屏幕：“投诉不成立，扣款撤销。顾客账号已被限制。”
字幕：“伤势几乎痊愈，只差最后一口气。”</t>
        </is>
      </c>
      <c r="H11" s="10" t="inlineStr">
        <is>
          <t>愈合</t>
        </is>
      </c>
      <c r="I11" s="10" t="inlineStr">
        <is>
          <t>近景</t>
        </is>
      </c>
      <c r="J11" s="13" t="inlineStr">
        <is>
          <t>字幕为 t160 原文；与镜头9“3/3”表述接近，成片时可统一为“只差最后一口气”【待确认】</t>
        </is>
      </c>
    </row>
    <row r="12">
      <c r="A12" s="10" t="n">
        <v>8</v>
      </c>
      <c r="B12" s="10" t="inlineStr">
        <is>
          <t>115–130s</t>
        </is>
      </c>
      <c r="C12" s="10" t="n">
        <v>15</v>
      </c>
      <c r="D12" s="6" t="inlineStr">
        <is>
          <t>白色梦境</t>
        </is>
      </c>
      <c r="E12" s="6" t="inlineStr">
        <is>
          <t>白色空间，梅长苏腿一软，跪倒。
引路人摘下斗笠，是蔺晨。</t>
        </is>
      </c>
      <c r="F12" s="6" t="inlineStr">
        <is>
          <t>蔺晨：“你要是真死了，我找谁下棋？”
梅长苏：“……你一直在骗我？”
蔺晨：“我是在救你。”</t>
        </is>
      </c>
      <c r="G12" s="6" t="inlineStr"/>
      <c r="H12" s="10" t="inlineStr">
        <is>
          <t>反转（蔺晨身份）</t>
        </is>
      </c>
      <c r="I12" s="10" t="inlineStr">
        <is>
          <t>中景→近景</t>
        </is>
      </c>
      <c r="J12" s="6" t="inlineStr"/>
    </row>
    <row r="13">
      <c r="A13" s="10" t="n">
        <v>9</v>
      </c>
      <c r="B13" s="10" t="inlineStr">
        <is>
          <t>130–145s</t>
        </is>
      </c>
      <c r="C13" s="10" t="n">
        <v>15</v>
      </c>
      <c r="D13" s="6" t="inlineStr">
        <is>
          <t>白色梦境</t>
        </is>
      </c>
      <c r="E13" s="6" t="inlineStr">
        <is>
          <t>梅长苏倒在地上，视线模糊。远处传来一阵电动车喇叭声。
一辆电动车冲进白色空间，是阿伟。
梅长苏愣住，笑出声。
梅长苏接过，喝下去。</t>
        </is>
      </c>
      <c r="F13" s="6" t="inlineStr">
        <is>
          <t>阿伟：（举着一瓶脉动）“您好，您的外卖到了。”
阿伟：“我自己买的，还你。”</t>
        </is>
      </c>
      <c r="G13" s="6" t="inlineStr">
        <is>
          <t>字幕：“伤势愈合 3/3。”
特效：白光爆开</t>
        </is>
      </c>
      <c r="H13" s="10" t="inlineStr">
        <is>
          <t>反转（第四瓶）</t>
        </is>
      </c>
      <c r="I13" s="10" t="inlineStr">
        <is>
          <t>中景</t>
        </is>
      </c>
      <c r="J13" s="6" t="inlineStr">
        <is>
          <t>第四瓶：被救的人反过来救主角。梅长苏此处才第一次喝脉动</t>
        </is>
      </c>
    </row>
    <row r="14">
      <c r="A14" s="10" t="n">
        <v>10</v>
      </c>
      <c r="B14" s="10" t="inlineStr">
        <is>
          <t>145–160s</t>
        </is>
      </c>
      <c r="C14" s="10" t="n">
        <v>15</v>
      </c>
      <c r="D14" s="6" t="inlineStr">
        <is>
          <t>雪夜山林</t>
        </is>
      </c>
      <c r="E14" s="6" t="inlineStr">
        <is>
          <t>雪夜，梅长苏睁眼，一把握住刺客的剑。
他反手一击，刺客们倒地。
远处树上，蔺晨晃着一瓶脉动，笑。
画面定格。</t>
        </is>
      </c>
      <c r="F14" s="6" t="inlineStr">
        <is>
          <t>梅长苏：“杀我？你们选错了夜晚。”
蔺晨：“下一单，已经到了。”</t>
        </is>
      </c>
      <c r="G14" s="6" t="inlineStr">
        <is>
          <t>大字幕：脉动回来</t>
        </is>
      </c>
      <c r="H14" s="10" t="inlineStr">
        <is>
          <t>终极打脸 + 结尾钩子</t>
        </is>
      </c>
      <c r="I14" s="10" t="inlineStr">
        <is>
          <t>近景→中景</t>
        </is>
      </c>
      <c r="J14" s="6" t="inlineStr">
        <is>
          <t>快切 + 手部/剑光特写，不拍群战全景</t>
        </is>
      </c>
    </row>
    <row r="15">
      <c r="B15" s="11" t="inlineStr">
        <is>
          <t>合计时长</t>
        </is>
      </c>
      <c r="C15" s="12">
        <f>SUM(C4:C14)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28" customWidth="1" min="3" max="3"/>
    <col width="34" customWidth="1" min="4" max="4"/>
    <col width="24" customWidth="1" min="5" max="5"/>
    <col width="52" customWidth="1" min="6" max="6"/>
  </cols>
  <sheetData>
    <row r="1">
      <c r="A1" s="9" t="inlineStr">
        <is>
          <t>脉动官方卖点核对</t>
        </is>
      </c>
    </row>
    <row r="2">
      <c r="A2" t="inlineStr">
        <is>
          <t>来源链接：达能中国官网 3D源动力发布稿 https://www.danone.com.cn/newsroom/press-releases/mizone-launches-3d-power-upgrade ；品牌页 https://www.danone.com.cn/brands/waters/mizone</t>
        </is>
      </c>
    </row>
    <row r="3">
      <c r="A3" s="5" t="inlineStr">
        <is>
          <t>卖点</t>
        </is>
      </c>
      <c r="B3" s="5" t="inlineStr">
        <is>
          <t>官方说法</t>
        </is>
      </c>
      <c r="C3" s="5" t="inlineStr">
        <is>
          <t>对应剧情</t>
        </is>
      </c>
      <c r="D3" s="5" t="inlineStr">
        <is>
          <t>来源</t>
        </is>
      </c>
      <c r="E3" s="5" t="inlineStr">
        <is>
          <t>核对状态</t>
        </is>
      </c>
      <c r="F3" s="5" t="inlineStr">
        <is>
          <t>写台词时注意</t>
        </is>
      </c>
    </row>
    <row r="4">
      <c r="A4" s="6" t="inlineStr">
        <is>
          <t>三连电解质（钾、钠、氯）</t>
        </is>
      </c>
      <c r="B4" s="6" t="inlineStr">
        <is>
          <t>官方说法：“闪充补水”，助力高效补水充电</t>
        </is>
      </c>
      <c r="C4" s="6" t="inlineStr">
        <is>
          <t>第2集（Hana，练习后出汗）</t>
        </is>
      </c>
      <c r="D4" s="6" t="inlineStr">
        <is>
          <t>达能中国官网 · 3D源动力发布稿</t>
        </is>
      </c>
      <c r="E4" s="6" t="inlineStr">
        <is>
          <t>已核对（官网）</t>
        </is>
      </c>
      <c r="F4" s="6" t="inlineStr">
        <is>
          <t>台词只讲“出汗丢的盐”，不说治病/瞬间恢复</t>
        </is>
      </c>
    </row>
    <row r="5">
      <c r="A5" s="6" t="inlineStr">
        <is>
          <t>三重维生素（维生素C、B6、B3烟酸）</t>
        </is>
      </c>
      <c r="B5" s="6" t="inlineStr">
        <is>
          <t>官方说法：“多维焕活”，支持身体活力快速恢复</t>
        </is>
      </c>
      <c r="C5" s="6" t="inlineStr">
        <is>
          <t>第1集（Daniel，加班）</t>
        </is>
      </c>
      <c r="D5" s="6" t="inlineStr">
        <is>
          <t>达能中国官网 · 3D源动力发布稿</t>
        </is>
      </c>
      <c r="E5" s="6" t="inlineStr">
        <is>
          <t>已核对（官网）</t>
        </is>
      </c>
      <c r="F5" s="6" t="inlineStr">
        <is>
          <t>官方为“支持”类措辞，剧本不写成治疗或提神熬夜</t>
        </is>
      </c>
    </row>
    <row r="6">
      <c r="A6" s="6" t="inlineStr">
        <is>
          <t>清爽果味</t>
        </is>
      </c>
      <c r="B6" s="6" t="inlineStr">
        <is>
          <t>官方说法：“清爽唤醒”；与西南大学柑桔研究所合作复刻水果风味</t>
        </is>
      </c>
      <c r="C6" s="6" t="inlineStr">
        <is>
          <t>第3集（阿伟，连跑后停车休息）</t>
        </is>
      </c>
      <c r="D6" s="6" t="inlineStr">
        <is>
          <t>达能中国官网 · 3D源动力发布稿</t>
        </is>
      </c>
      <c r="E6" s="6" t="inlineStr">
        <is>
          <t>已核对（官网）</t>
        </is>
      </c>
      <c r="F6" s="6" t="inlineStr">
        <is>
          <t>官方点名场景为工作、运动、学习；外卖小哥对应“工作午后精力下降”，匹配度稍弱但可用</t>
        </is>
      </c>
    </row>
    <row r="7">
      <c r="A7" s="6" t="inlineStr">
        <is>
          <t>品牌口号</t>
        </is>
      </c>
      <c r="B7" s="6" t="inlineStr">
        <is>
          <t>“脉动回来”；新主张“一口脉动，状态拉满”</t>
        </is>
      </c>
      <c r="C7" s="6" t="inlineStr">
        <is>
          <t>三集贯穿</t>
        </is>
      </c>
      <c r="D7" s="6" t="inlineStr">
        <is>
          <t>达能中国官网 · 脉动品牌页</t>
        </is>
      </c>
      <c r="E7" s="6" t="inlineStr">
        <is>
          <t>已核对（官网）</t>
        </is>
      </c>
      <c r="F7" s="6" t="inlineStr"/>
    </row>
    <row r="8">
      <c r="A8" s="13" t="inlineStr">
        <is>
          <t>产品款式</t>
        </is>
      </c>
      <c r="B8" s="13" t="inlineStr">
        <is>
          <t>普通款脉动 vs 脉动+电解质（含椰子水、5种电解质，是独立的运动饮料产品）</t>
        </is>
      </c>
      <c r="C8" s="6" t="inlineStr">
        <is>
          <t>全片</t>
        </is>
      </c>
      <c r="D8" s="6" t="inlineStr">
        <is>
          <t>达能中国官网 · 脉动品牌页</t>
        </is>
      </c>
      <c r="E8" s="13" t="inlineStr">
        <is>
          <t>待确认：植入哪一款</t>
        </is>
      </c>
      <c r="F8" s="13" t="inlineStr">
        <is>
          <t>目前脚本按普通款写；若改为“脉动+电解质”，需改第2集卖点台词</t>
        </is>
      </c>
    </row>
    <row r="9">
      <c r="A9" s="6" t="inlineStr">
        <is>
          <t>咖啡因</t>
        </is>
      </c>
      <c r="B9" s="6" t="inlineStr">
        <is>
          <t>脉动不含咖啡因</t>
        </is>
      </c>
      <c r="C9" s="6" t="inlineStr">
        <is>
          <t>第3集</t>
        </is>
      </c>
      <c r="D9" s="6" t="inlineStr">
        <is>
          <t>达能中国官网</t>
        </is>
      </c>
      <c r="E9" s="6" t="inlineStr">
        <is>
          <t>已核对（官网）</t>
        </is>
      </c>
      <c r="F9" s="6" t="inlineStr">
        <is>
          <t>不得写成“提神熬夜赶单”，只写“清爽唤醒”，喝完状态回来</t>
        </is>
      </c>
    </row>
    <row r="10"/>
    <row r="11">
      <c r="A11" s="11" t="inlineStr">
        <is>
          <t>不可使用的说法</t>
        </is>
      </c>
    </row>
    <row r="12">
      <c r="A12" t="inlineStr">
        <is>
          <t>• 治病、治疗、瞬间满血、喝了就变强</t>
        </is>
      </c>
    </row>
    <row r="13">
      <c r="A13" t="inlineStr">
        <is>
          <t>• 提神、熬夜、抗疲劳（脉动无咖啡因）</t>
        </is>
      </c>
    </row>
    <row r="14">
      <c r="A14" t="inlineStr">
        <is>
          <t>• 任何官网没有的数字、含量、保质期</t>
        </is>
      </c>
    </row>
    <row r="15">
      <c r="A15" t="inlineStr">
        <is>
          <t>• 边骑车边喝（外卖小哥只在停车时喝）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0" customWidth="1" min="3" max="3"/>
    <col width="22" customWidth="1" min="4" max="4"/>
    <col width="12" customWidth="1" min="5" max="5"/>
    <col width="36" customWidth="1" min="6" max="6"/>
  </cols>
  <sheetData>
    <row r="1">
      <c r="A1" s="9" t="inlineStr">
        <is>
          <t>积分使用记录（拍摄时逐条填写，底部自动汇总）</t>
        </is>
      </c>
    </row>
    <row r="2">
      <c r="A2" t="inlineStr">
        <is>
          <t>类型：文生图 / 图生视频 / 静帧+运镜（待填）；积分为空，生成后填写。时长取自分集表。</t>
        </is>
      </c>
    </row>
    <row r="3"/>
    <row r="4">
      <c r="A4" s="5" t="inlineStr">
        <is>
          <t>集</t>
        </is>
      </c>
      <c r="B4" s="5" t="inlineStr">
        <is>
          <t>镜号</t>
        </is>
      </c>
      <c r="C4" s="5" t="inlineStr">
        <is>
          <t>时长(s)</t>
        </is>
      </c>
      <c r="D4" s="5" t="inlineStr">
        <is>
          <t>类型</t>
        </is>
      </c>
      <c r="E4" s="5" t="inlineStr">
        <is>
          <t>积分</t>
        </is>
      </c>
      <c r="F4" s="5" t="inlineStr">
        <is>
          <t>备注</t>
        </is>
      </c>
    </row>
    <row r="5">
      <c r="A5" s="10" t="n">
        <v>1</v>
      </c>
      <c r="B5" s="10" t="n">
        <v>0</v>
      </c>
      <c r="C5" s="10" t="n">
        <v>3</v>
      </c>
      <c r="D5" s="13" t="inlineStr">
        <is>
          <t>待填</t>
        </is>
      </c>
      <c r="E5" s="13" t="n"/>
      <c r="F5" s="6" t="inlineStr"/>
    </row>
    <row r="6">
      <c r="A6" s="10" t="n">
        <v>1</v>
      </c>
      <c r="B6" s="10" t="n">
        <v>1</v>
      </c>
      <c r="C6" s="10" t="n">
        <v>9</v>
      </c>
      <c r="D6" s="13" t="inlineStr">
        <is>
          <t>待填</t>
        </is>
      </c>
      <c r="E6" s="13" t="n"/>
      <c r="F6" s="6" t="inlineStr"/>
    </row>
    <row r="7">
      <c r="A7" s="10" t="n">
        <v>1</v>
      </c>
      <c r="B7" s="10" t="n">
        <v>2</v>
      </c>
      <c r="C7" s="10" t="n">
        <v>13</v>
      </c>
      <c r="D7" s="13" t="inlineStr">
        <is>
          <t>待填</t>
        </is>
      </c>
      <c r="E7" s="13" t="n"/>
      <c r="F7" s="6" t="inlineStr"/>
    </row>
    <row r="8">
      <c r="A8" s="10" t="n">
        <v>1</v>
      </c>
      <c r="B8" s="10" t="n">
        <v>3</v>
      </c>
      <c r="C8" s="10" t="n">
        <v>13</v>
      </c>
      <c r="D8" s="13" t="inlineStr">
        <is>
          <t>待填</t>
        </is>
      </c>
      <c r="E8" s="13" t="n"/>
      <c r="F8" s="6" t="inlineStr"/>
    </row>
    <row r="9">
      <c r="A9" s="10" t="n">
        <v>1</v>
      </c>
      <c r="B9" s="10" t="n">
        <v>4</v>
      </c>
      <c r="C9" s="10" t="n">
        <v>12</v>
      </c>
      <c r="D9" s="13" t="inlineStr">
        <is>
          <t>待填</t>
        </is>
      </c>
      <c r="E9" s="13" t="n"/>
      <c r="F9" s="6" t="inlineStr"/>
    </row>
    <row r="10">
      <c r="A10" s="10" t="n">
        <v>1</v>
      </c>
      <c r="B10" s="10" t="n">
        <v>5</v>
      </c>
      <c r="C10" s="10" t="n">
        <v>12</v>
      </c>
      <c r="D10" s="13" t="inlineStr">
        <is>
          <t>待填</t>
        </is>
      </c>
      <c r="E10" s="13" t="n"/>
      <c r="F10" s="6" t="inlineStr"/>
    </row>
    <row r="11">
      <c r="A11" s="10" t="n">
        <v>1</v>
      </c>
      <c r="B11" s="10" t="n">
        <v>6</v>
      </c>
      <c r="C11" s="10" t="n">
        <v>12</v>
      </c>
      <c r="D11" s="13" t="inlineStr">
        <is>
          <t>待填</t>
        </is>
      </c>
      <c r="E11" s="13" t="n"/>
      <c r="F11" s="6" t="inlineStr"/>
    </row>
    <row r="12">
      <c r="A12" s="10" t="n">
        <v>1</v>
      </c>
      <c r="B12" s="10" t="n">
        <v>7</v>
      </c>
      <c r="C12" s="10" t="n">
        <v>26</v>
      </c>
      <c r="D12" s="13" t="inlineStr">
        <is>
          <t>待填</t>
        </is>
      </c>
      <c r="E12" s="13" t="n"/>
      <c r="F12" s="6" t="inlineStr"/>
    </row>
    <row r="13">
      <c r="A13" s="10" t="n">
        <v>1</v>
      </c>
      <c r="B13" s="10" t="n">
        <v>8</v>
      </c>
      <c r="C13" s="10" t="n">
        <v>15</v>
      </c>
      <c r="D13" s="13" t="inlineStr">
        <is>
          <t>待填</t>
        </is>
      </c>
      <c r="E13" s="13" t="n"/>
      <c r="F13" s="6" t="inlineStr"/>
    </row>
    <row r="14">
      <c r="A14" s="10" t="n">
        <v>1</v>
      </c>
      <c r="B14" s="10" t="n">
        <v>9</v>
      </c>
      <c r="C14" s="10" t="n">
        <v>15</v>
      </c>
      <c r="D14" s="13" t="inlineStr">
        <is>
          <t>待填</t>
        </is>
      </c>
      <c r="E14" s="13" t="n"/>
      <c r="F14" s="6" t="inlineStr"/>
    </row>
    <row r="15">
      <c r="A15" s="10" t="n">
        <v>2</v>
      </c>
      <c r="B15" s="10" t="n">
        <v>0</v>
      </c>
      <c r="C15" s="10" t="n">
        <v>3</v>
      </c>
      <c r="D15" s="13" t="inlineStr">
        <is>
          <t>待填</t>
        </is>
      </c>
      <c r="E15" s="13" t="n"/>
      <c r="F15" s="6" t="inlineStr"/>
    </row>
    <row r="16">
      <c r="A16" s="10" t="n">
        <v>2</v>
      </c>
      <c r="B16" s="10" t="n">
        <v>1</v>
      </c>
      <c r="C16" s="10" t="n">
        <v>12</v>
      </c>
      <c r="D16" s="13" t="inlineStr">
        <is>
          <t>待填</t>
        </is>
      </c>
      <c r="E16" s="13" t="n"/>
      <c r="F16" s="6" t="inlineStr"/>
    </row>
    <row r="17">
      <c r="A17" s="10" t="n">
        <v>2</v>
      </c>
      <c r="B17" s="10" t="n">
        <v>2</v>
      </c>
      <c r="C17" s="10" t="n">
        <v>13</v>
      </c>
      <c r="D17" s="13" t="inlineStr">
        <is>
          <t>待填</t>
        </is>
      </c>
      <c r="E17" s="13" t="n"/>
      <c r="F17" s="6" t="inlineStr"/>
    </row>
    <row r="18">
      <c r="A18" s="10" t="n">
        <v>2</v>
      </c>
      <c r="B18" s="10" t="n">
        <v>3</v>
      </c>
      <c r="C18" s="10" t="n">
        <v>14</v>
      </c>
      <c r="D18" s="13" t="inlineStr">
        <is>
          <t>待填</t>
        </is>
      </c>
      <c r="E18" s="13" t="n"/>
      <c r="F18" s="6" t="inlineStr"/>
    </row>
    <row r="19">
      <c r="A19" s="10" t="n">
        <v>2</v>
      </c>
      <c r="B19" s="10" t="n">
        <v>4</v>
      </c>
      <c r="C19" s="10" t="n">
        <v>13</v>
      </c>
      <c r="D19" s="13" t="inlineStr">
        <is>
          <t>待填</t>
        </is>
      </c>
      <c r="E19" s="13" t="n"/>
      <c r="F19" s="6" t="inlineStr"/>
    </row>
    <row r="20">
      <c r="A20" s="10" t="n">
        <v>2</v>
      </c>
      <c r="B20" s="10" t="n">
        <v>5</v>
      </c>
      <c r="C20" s="10" t="n">
        <v>15</v>
      </c>
      <c r="D20" s="13" t="inlineStr">
        <is>
          <t>待填</t>
        </is>
      </c>
      <c r="E20" s="13" t="n"/>
      <c r="F20" s="6" t="inlineStr"/>
    </row>
    <row r="21">
      <c r="A21" s="10" t="n">
        <v>2</v>
      </c>
      <c r="B21" s="10" t="n">
        <v>6</v>
      </c>
      <c r="C21" s="10" t="n">
        <v>30</v>
      </c>
      <c r="D21" s="13" t="inlineStr">
        <is>
          <t>待填</t>
        </is>
      </c>
      <c r="E21" s="13" t="n"/>
      <c r="F21" s="6" t="inlineStr"/>
    </row>
    <row r="22">
      <c r="A22" s="10" t="n">
        <v>2</v>
      </c>
      <c r="B22" s="10" t="n">
        <v>7</v>
      </c>
      <c r="C22" s="10" t="n">
        <v>25</v>
      </c>
      <c r="D22" s="13" t="inlineStr">
        <is>
          <t>待填</t>
        </is>
      </c>
      <c r="E22" s="13" t="n"/>
      <c r="F22" s="6" t="inlineStr"/>
    </row>
    <row r="23">
      <c r="A23" s="10" t="n">
        <v>2</v>
      </c>
      <c r="B23" s="10" t="n">
        <v>8</v>
      </c>
      <c r="C23" s="10" t="n">
        <v>15</v>
      </c>
      <c r="D23" s="13" t="inlineStr">
        <is>
          <t>待填</t>
        </is>
      </c>
      <c r="E23" s="13" t="n"/>
      <c r="F23" s="6" t="inlineStr"/>
    </row>
    <row r="24">
      <c r="A24" s="10" t="n">
        <v>3</v>
      </c>
      <c r="B24" s="10" t="n">
        <v>0</v>
      </c>
      <c r="C24" s="10" t="n">
        <v>3</v>
      </c>
      <c r="D24" s="13" t="inlineStr">
        <is>
          <t>待填</t>
        </is>
      </c>
      <c r="E24" s="13" t="n"/>
      <c r="F24" s="6" t="inlineStr"/>
    </row>
    <row r="25">
      <c r="A25" s="10" t="n">
        <v>3</v>
      </c>
      <c r="B25" s="10" t="n">
        <v>1</v>
      </c>
      <c r="C25" s="10" t="n">
        <v>12</v>
      </c>
      <c r="D25" s="13" t="inlineStr">
        <is>
          <t>待填</t>
        </is>
      </c>
      <c r="E25" s="13" t="n"/>
      <c r="F25" s="6" t="inlineStr"/>
    </row>
    <row r="26">
      <c r="A26" s="10" t="n">
        <v>3</v>
      </c>
      <c r="B26" s="10" t="n">
        <v>2</v>
      </c>
      <c r="C26" s="10" t="n">
        <v>13</v>
      </c>
      <c r="D26" s="13" t="inlineStr">
        <is>
          <t>待填</t>
        </is>
      </c>
      <c r="E26" s="13" t="n"/>
      <c r="F26" s="6" t="inlineStr"/>
    </row>
    <row r="27">
      <c r="A27" s="10" t="n">
        <v>3</v>
      </c>
      <c r="B27" s="10" t="n">
        <v>3</v>
      </c>
      <c r="C27" s="10" t="n">
        <v>14</v>
      </c>
      <c r="D27" s="13" t="inlineStr">
        <is>
          <t>待填</t>
        </is>
      </c>
      <c r="E27" s="13" t="n"/>
      <c r="F27" s="6" t="inlineStr"/>
    </row>
    <row r="28">
      <c r="A28" s="10" t="n">
        <v>3</v>
      </c>
      <c r="B28" s="10" t="n">
        <v>4</v>
      </c>
      <c r="C28" s="10" t="n">
        <v>16</v>
      </c>
      <c r="D28" s="13" t="inlineStr">
        <is>
          <t>待填</t>
        </is>
      </c>
      <c r="E28" s="13" t="n"/>
      <c r="F28" s="6" t="inlineStr"/>
    </row>
    <row r="29">
      <c r="A29" s="10" t="n">
        <v>3</v>
      </c>
      <c r="B29" s="10" t="n">
        <v>5</v>
      </c>
      <c r="C29" s="10" t="n">
        <v>14</v>
      </c>
      <c r="D29" s="13" t="inlineStr">
        <is>
          <t>待填</t>
        </is>
      </c>
      <c r="E29" s="13" t="n"/>
      <c r="F29" s="6" t="inlineStr"/>
    </row>
    <row r="30">
      <c r="A30" s="10" t="n">
        <v>3</v>
      </c>
      <c r="B30" s="10" t="n">
        <v>6</v>
      </c>
      <c r="C30" s="10" t="n">
        <v>30</v>
      </c>
      <c r="D30" s="13" t="inlineStr">
        <is>
          <t>待填</t>
        </is>
      </c>
      <c r="E30" s="13" t="n"/>
      <c r="F30" s="6" t="inlineStr"/>
    </row>
    <row r="31">
      <c r="A31" s="10" t="n">
        <v>3</v>
      </c>
      <c r="B31" s="10" t="n">
        <v>7</v>
      </c>
      <c r="C31" s="10" t="n">
        <v>13</v>
      </c>
      <c r="D31" s="13" t="inlineStr">
        <is>
          <t>待填</t>
        </is>
      </c>
      <c r="E31" s="13" t="n"/>
      <c r="F31" s="6" t="inlineStr"/>
    </row>
    <row r="32">
      <c r="A32" s="10" t="n">
        <v>3</v>
      </c>
      <c r="B32" s="10" t="n">
        <v>8</v>
      </c>
      <c r="C32" s="10" t="n">
        <v>15</v>
      </c>
      <c r="D32" s="13" t="inlineStr">
        <is>
          <t>待填</t>
        </is>
      </c>
      <c r="E32" s="13" t="n"/>
      <c r="F32" s="6" t="inlineStr"/>
    </row>
    <row r="33">
      <c r="A33" s="10" t="n">
        <v>3</v>
      </c>
      <c r="B33" s="10" t="n">
        <v>9</v>
      </c>
      <c r="C33" s="10" t="n">
        <v>15</v>
      </c>
      <c r="D33" s="13" t="inlineStr">
        <is>
          <t>待填</t>
        </is>
      </c>
      <c r="E33" s="13" t="n"/>
      <c r="F33" s="6" t="inlineStr"/>
    </row>
    <row r="34">
      <c r="A34" s="10" t="n">
        <v>3</v>
      </c>
      <c r="B34" s="10" t="n">
        <v>10</v>
      </c>
      <c r="C34" s="10" t="n">
        <v>15</v>
      </c>
      <c r="D34" s="13" t="inlineStr">
        <is>
          <t>待填</t>
        </is>
      </c>
      <c r="E34" s="13" t="n"/>
      <c r="F34" s="6" t="inlineStr"/>
    </row>
    <row r="35"/>
    <row r="36">
      <c r="D36" s="11" t="inlineStr">
        <is>
          <t>总积分</t>
        </is>
      </c>
      <c r="E36" s="11">
        <f>SUM(E5:E34)</f>
        <v/>
      </c>
    </row>
    <row r="37">
      <c r="D37" s="11" t="inlineStr">
        <is>
          <t>第 1 集积分</t>
        </is>
      </c>
      <c r="E37">
        <f>SUMIF(A5:A34,1,E5:E34)</f>
        <v/>
      </c>
    </row>
    <row r="38">
      <c r="D38" s="11" t="inlineStr">
        <is>
          <t>第 2 集积分</t>
        </is>
      </c>
      <c r="E38">
        <f>SUMIF(A5:A34,2,E5:E34)</f>
        <v/>
      </c>
    </row>
    <row r="39">
      <c r="D39" s="11" t="inlineStr">
        <is>
          <t>第 3 集积分</t>
        </is>
      </c>
      <c r="E39">
        <f>SUMIF(A5:A34,3,E5:E34)</f>
        <v/>
      </c>
    </row>
    <row r="40">
      <c r="D40" s="11" t="inlineStr">
        <is>
          <t>总分钟数</t>
        </is>
      </c>
      <c r="E40" s="14">
        <f>SUM(C5:C34)/60</f>
        <v/>
      </c>
    </row>
    <row r="41">
      <c r="D41" s="11" t="inlineStr">
        <is>
          <t>每分钟积分</t>
        </is>
      </c>
      <c r="E41" s="15">
        <f>IF(E40=0,0,E36/E40)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2026-10-23T10:19:58Z</dcterms:created>
  <dcterms:modified xmlns:dcterms="http://purl.org/dc/terms/" xmlns:xsi="http://www.w3.org/2001/XMLSchema-instance" xsi:type="dcterms:W3CDTF">2026-10-23T10:20:19Z</dcterms:modified>
</cp:coreProperties>
</file>